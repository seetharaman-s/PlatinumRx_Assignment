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" sheetId="1" state="visible" r:id="rId3"/>
    <sheet name="feedbacks" sheetId="2" state="visible" r:id="rId4"/>
    <sheet name="Analy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<sst xmlns="http://schemas.openxmlformats.org/spreadsheetml/2006/main" count="98" uniqueCount="70">
  <si>
    <t xml:space="preserve">ticket_id</t>
  </si>
  <si>
    <t xml:space="preserve">created_at</t>
  </si>
  <si>
    <t xml:space="preserve">closed_at</t>
  </si>
  <si>
    <t xml:space="preserve">outlet_id</t>
  </si>
  <si>
    <t xml:space="preserve">cms_id</t>
  </si>
  <si>
    <t xml:space="preserve">isu-sjd-457</t>
  </si>
  <si>
    <t xml:space="preserve">2021-08-19 16:45:43</t>
  </si>
  <si>
    <t xml:space="preserve">2021-08-22 12:33:32</t>
  </si>
  <si>
    <t xml:space="preserve">wrqy-juv-978</t>
  </si>
  <si>
    <t xml:space="preserve">vew-iuvd-12</t>
  </si>
  <si>
    <t xml:space="preserve">qer-fal-092</t>
  </si>
  <si>
    <t xml:space="preserve">2021-08-21 11:09:22</t>
  </si>
  <si>
    <t xml:space="preserve">2021-08-21 17:13:45</t>
  </si>
  <si>
    <t xml:space="preserve">8woh-k3u-23b</t>
  </si>
  <si>
    <t xml:space="preserve">mxp-tyuv-45</t>
  </si>
  <si>
    <t xml:space="preserve">abt-xyw-103</t>
  </si>
  <si>
    <t xml:space="preserve">2021-08-21 09:30:00</t>
  </si>
  <si>
    <t xml:space="preserve">2021-08-21 09:55:10</t>
  </si>
  <si>
    <t xml:space="preserve">krl-qpow-78</t>
  </si>
  <si>
    <t xml:space="preserve">bcu-mnp-214</t>
  </si>
  <si>
    <t xml:space="preserve">2021-08-22 14:00:00</t>
  </si>
  <si>
    <t xml:space="preserve">2021-08-23 10:00:00</t>
  </si>
  <si>
    <t xml:space="preserve">9jkl-mno-44z</t>
  </si>
  <si>
    <t xml:space="preserve">bnm-loiu-33</t>
  </si>
  <si>
    <t xml:space="preserve">cde-rst-325</t>
  </si>
  <si>
    <t xml:space="preserve">2021-08-23 08:15:00</t>
  </si>
  <si>
    <t xml:space="preserve">2021-08-23 08:45:30</t>
  </si>
  <si>
    <t xml:space="preserve">plm-okij-91</t>
  </si>
  <si>
    <t xml:space="preserve">def-uvw-436</t>
  </si>
  <si>
    <t xml:space="preserve">2021-08-23 11:00:00</t>
  </si>
  <si>
    <t xml:space="preserve">2021-08-24 15:00:00</t>
  </si>
  <si>
    <t xml:space="preserve">zxc-vbnm-56</t>
  </si>
  <si>
    <t xml:space="preserve">efg-xyz-547</t>
  </si>
  <si>
    <t xml:space="preserve">2021-08-24 09:00:00</t>
  </si>
  <si>
    <t xml:space="preserve">2021-08-24 09:50:00</t>
  </si>
  <si>
    <t xml:space="preserve">qaz-wsx-67</t>
  </si>
  <si>
    <t xml:space="preserve">fgh-abc-658</t>
  </si>
  <si>
    <t xml:space="preserve">2021-08-24 13:30:00</t>
  </si>
  <si>
    <t xml:space="preserve">2021-08-25 13:30:00</t>
  </si>
  <si>
    <t xml:space="preserve">edc-rfv-82</t>
  </si>
  <si>
    <t xml:space="preserve">ghi-bcd-769</t>
  </si>
  <si>
    <t xml:space="preserve">2021-08-25 10:00:00</t>
  </si>
  <si>
    <t xml:space="preserve">2021-08-25 10:45:00</t>
  </si>
  <si>
    <t xml:space="preserve">tgb-yhn-93</t>
  </si>
  <si>
    <t xml:space="preserve">hij-cde-870</t>
  </si>
  <si>
    <t xml:space="preserve">2021-08-25 14:00:00</t>
  </si>
  <si>
    <t xml:space="preserve">2021-08-26 09:00:00</t>
  </si>
  <si>
    <t xml:space="preserve">ujm-ikl-04</t>
  </si>
  <si>
    <t xml:space="preserve">feedback_at</t>
  </si>
  <si>
    <t xml:space="preserve">feedback_rating</t>
  </si>
  <si>
    <t xml:space="preserve">ticket_created_at</t>
  </si>
  <si>
    <t xml:space="preserve">2021-08-21 13:26:48</t>
  </si>
  <si>
    <t xml:space="preserve">2021-08-22 09:00:00</t>
  </si>
  <si>
    <t xml:space="preserve">2021-08-21 10:30:00</t>
  </si>
  <si>
    <t xml:space="preserve">2021-08-23 09:00:00</t>
  </si>
  <si>
    <t xml:space="preserve">2021-08-24 08:00:00</t>
  </si>
  <si>
    <t xml:space="preserve">2021-08-24 10:00:00</t>
  </si>
  <si>
    <t xml:space="preserve">2021-08-25 11:00:00</t>
  </si>
  <si>
    <t xml:space="preserve">2021-08-26 10:00:00</t>
  </si>
  <si>
    <t xml:space="preserve">Ticket Analysis – Same Day &amp; Same Hour Closure</t>
  </si>
  <si>
    <t xml:space="preserve">Same Day?</t>
  </si>
  <si>
    <t xml:space="preserve">Same Hour?</t>
  </si>
  <si>
    <t xml:space="preserve">Summary – Outlet-wise Counts</t>
  </si>
  <si>
    <t xml:space="preserve">Total Tickets</t>
  </si>
  <si>
    <t xml:space="preserve">Closed Same Day (Count)</t>
  </si>
  <si>
    <t xml:space="preserve">Closed Same Day (%)</t>
  </si>
  <si>
    <t xml:space="preserve">Closed Same Hour (Count)</t>
  </si>
  <si>
    <t xml:space="preserve">Closed Same Hour (%)</t>
  </si>
  <si>
    <t xml:space="preserve">Legend</t>
  </si>
  <si>
    <t xml:space="preserve">Blue text = hardcoded input  |  Green text = formula / cross-sheet reference  |  Green background = formula cell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</si>
</sst>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8</v>
      </c>
      <c r="E4" s="2" t="s">
        <v>18</v>
      </c>
    </row>
    <row r="5" customFormat="false" ht="15" hidden="false" customHeight="false" outlineLevel="0" collapsed="false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2" t="s">
        <v>13</v>
      </c>
      <c r="E6" s="2" t="s">
        <v>27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30</v>
      </c>
      <c r="D7" s="3" t="s">
        <v>8</v>
      </c>
      <c r="E7" s="3" t="s">
        <v>31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s">
        <v>34</v>
      </c>
      <c r="D8" s="2" t="s">
        <v>22</v>
      </c>
      <c r="E8" s="2" t="s">
        <v>35</v>
      </c>
    </row>
    <row r="9" customFormat="false" ht="15" hidden="false" customHeight="false" outlineLevel="0" collapsed="false">
      <c r="A9" s="3" t="s">
        <v>36</v>
      </c>
      <c r="B9" s="3" t="s">
        <v>37</v>
      </c>
      <c r="C9" s="3" t="s">
        <v>38</v>
      </c>
      <c r="D9" s="3" t="s">
        <v>13</v>
      </c>
      <c r="E9" s="3" t="s">
        <v>39</v>
      </c>
    </row>
    <row r="10" customFormat="false" ht="15" hidden="false" customHeight="false" outlineLevel="0" collapsed="false">
      <c r="A10" s="2" t="s">
        <v>40</v>
      </c>
      <c r="B10" s="2" t="s">
        <v>41</v>
      </c>
      <c r="C10" s="2" t="s">
        <v>42</v>
      </c>
      <c r="D10" s="2" t="s">
        <v>8</v>
      </c>
      <c r="E10" s="2" t="s">
        <v>43</v>
      </c>
    </row>
    <row r="11" customFormat="false" ht="15" hidden="false" customHeight="false" outlineLevel="0" collapsed="false">
      <c r="A11" s="3" t="s">
        <v>44</v>
      </c>
      <c r="B11" s="3" t="s">
        <v>45</v>
      </c>
      <c r="C11" s="3" t="s">
        <v>46</v>
      </c>
      <c r="D11" s="3" t="s">
        <v>22</v>
      </c>
      <c r="E11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27.75" hidden="false" customHeight="true" outlineLevel="0" collapsed="false">
      <c r="A1" s="1" t="s">
        <v>4</v>
      </c>
      <c r="B1" s="1" t="s">
        <v>48</v>
      </c>
      <c r="C1" s="1" t="s">
        <v>49</v>
      </c>
      <c r="D1" s="1" t="s">
        <v>50</v>
      </c>
    </row>
    <row r="2" customFormat="false" ht="15" hidden="false" customHeight="false" outlineLevel="0" collapsed="false">
      <c r="A2" s="2" t="s">
        <v>9</v>
      </c>
      <c r="B2" s="2" t="s">
        <v>51</v>
      </c>
      <c r="C2" s="2" t="n">
        <v>3</v>
      </c>
      <c r="D2" s="4" t="str">
        <f aca="false">IFERROR(VLOOKUP(A2,ticket!$E:$B,2,FALSE()),"Not Found")</f>
        <v>Not Found</v>
      </c>
    </row>
    <row r="3" customFormat="false" ht="15" hidden="false" customHeight="false" outlineLevel="0" collapsed="false">
      <c r="A3" s="3" t="s">
        <v>14</v>
      </c>
      <c r="B3" s="3" t="s">
        <v>52</v>
      </c>
      <c r="C3" s="3" t="n">
        <v>4</v>
      </c>
      <c r="D3" s="4" t="str">
        <f aca="false">IFERROR(VLOOKUP(A3,ticket!$E:$B,2,FALSE()),"Not Found")</f>
        <v>Not Found</v>
      </c>
    </row>
    <row r="4" customFormat="false" ht="15" hidden="false" customHeight="false" outlineLevel="0" collapsed="false">
      <c r="A4" s="2" t="s">
        <v>18</v>
      </c>
      <c r="B4" s="2" t="s">
        <v>53</v>
      </c>
      <c r="C4" s="2" t="n">
        <v>5</v>
      </c>
      <c r="D4" s="4" t="str">
        <f aca="false">IFERROR(VLOOKUP(A4,ticket!$E:$B,2,FALSE()),"Not Found")</f>
        <v>Not Found</v>
      </c>
    </row>
    <row r="5" customFormat="false" ht="15" hidden="false" customHeight="false" outlineLevel="0" collapsed="false">
      <c r="A5" s="3" t="s">
        <v>23</v>
      </c>
      <c r="B5" s="3" t="s">
        <v>29</v>
      </c>
      <c r="C5" s="3" t="n">
        <v>2</v>
      </c>
      <c r="D5" s="4" t="str">
        <f aca="false">IFERROR(VLOOKUP(A5,ticket!$E:$B,2,FALSE()),"Not Found")</f>
        <v>Not Found</v>
      </c>
    </row>
    <row r="6" customFormat="false" ht="15" hidden="false" customHeight="false" outlineLevel="0" collapsed="false">
      <c r="A6" s="2" t="s">
        <v>27</v>
      </c>
      <c r="B6" s="2" t="s">
        <v>54</v>
      </c>
      <c r="C6" s="2" t="n">
        <v>4</v>
      </c>
      <c r="D6" s="4" t="str">
        <f aca="false">IFERROR(VLOOKUP(A6,ticket!$E:$B,2,FALSE()),"Not Found")</f>
        <v>Not Found</v>
      </c>
    </row>
    <row r="7" customFormat="false" ht="15" hidden="false" customHeight="false" outlineLevel="0" collapsed="false">
      <c r="A7" s="3" t="s">
        <v>31</v>
      </c>
      <c r="B7" s="3" t="s">
        <v>55</v>
      </c>
      <c r="C7" s="3" t="n">
        <v>3</v>
      </c>
      <c r="D7" s="4" t="str">
        <f aca="false">IFERROR(VLOOKUP(A7,ticket!$E:$B,2,FALSE()),"Not Found")</f>
        <v>Not Found</v>
      </c>
    </row>
    <row r="8" customFormat="false" ht="15" hidden="false" customHeight="false" outlineLevel="0" collapsed="false">
      <c r="A8" s="2" t="s">
        <v>35</v>
      </c>
      <c r="B8" s="2" t="s">
        <v>56</v>
      </c>
      <c r="C8" s="2" t="n">
        <v>5</v>
      </c>
      <c r="D8" s="4" t="str">
        <f aca="false">IFERROR(VLOOKUP(A8,ticket!$E:$B,2,FALSE()),"Not Found")</f>
        <v>Not Found</v>
      </c>
    </row>
    <row r="9" customFormat="false" ht="15" hidden="false" customHeight="false" outlineLevel="0" collapsed="false">
      <c r="A9" s="3" t="s">
        <v>39</v>
      </c>
      <c r="B9" s="3" t="s">
        <v>45</v>
      </c>
      <c r="C9" s="3" t="n">
        <v>1</v>
      </c>
      <c r="D9" s="4" t="str">
        <f aca="false">IFERROR(VLOOKUP(A9,ticket!$E:$B,2,FALSE()),"Not Found")</f>
        <v>Not Found</v>
      </c>
    </row>
    <row r="10" customFormat="false" ht="15" hidden="false" customHeight="false" outlineLevel="0" collapsed="false">
      <c r="A10" s="2" t="s">
        <v>43</v>
      </c>
      <c r="B10" s="2" t="s">
        <v>57</v>
      </c>
      <c r="C10" s="2" t="n">
        <v>4</v>
      </c>
      <c r="D10" s="4" t="str">
        <f aca="false">IFERROR(VLOOKUP(A10,ticket!$E:$B,2,FALSE()),"Not Found")</f>
        <v>Not Found</v>
      </c>
    </row>
    <row r="11" customFormat="false" ht="15" hidden="false" customHeight="false" outlineLevel="0" collapsed="false">
      <c r="A11" s="3" t="s">
        <v>47</v>
      </c>
      <c r="B11" s="3" t="s">
        <v>58</v>
      </c>
      <c r="C11" s="3" t="n">
        <v>3</v>
      </c>
      <c r="D11" s="4" t="str">
        <f aca="false">IFERROR(VLOOKUP(A11,ticket!$E:$B,2,FALSE()),"Not Found")</f>
        <v>Not Found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22"/>
    <col collapsed="false" customWidth="true" hidden="false" outlineLevel="0" max="6" min="5" style="0" width="14"/>
    <col collapsed="false" customWidth="true" hidden="false" outlineLevel="0" max="7" min="7" style="0" width="10"/>
  </cols>
  <sheetData>
    <row r="1" customFormat="false" ht="31.5" hidden="false" customHeight="true" outlineLevel="0" collapsed="false">
      <c r="A1" s="5" t="s">
        <v>59</v>
      </c>
      <c r="B1" s="5"/>
      <c r="C1" s="5"/>
      <c r="D1" s="5"/>
      <c r="E1" s="5"/>
      <c r="F1" s="5"/>
      <c r="G1" s="5"/>
    </row>
    <row r="3" customFormat="false" ht="24" hidden="false" customHeight="true" outlineLevel="0" collapsed="false">
      <c r="A3" s="6" t="s">
        <v>0</v>
      </c>
      <c r="B3" s="6" t="s">
        <v>3</v>
      </c>
      <c r="C3" s="6" t="s">
        <v>1</v>
      </c>
      <c r="D3" s="6" t="s">
        <v>2</v>
      </c>
      <c r="E3" s="6" t="s">
        <v>60</v>
      </c>
      <c r="F3" s="6" t="s">
        <v>61</v>
      </c>
      <c r="G3" s="6"/>
    </row>
    <row r="4" customFormat="false" ht="15" hidden="false" customHeight="false" outlineLevel="0" collapsed="false">
      <c r="A4" s="2" t="str">
        <f aca="false">ticket!A2</f>
        <v>isu-sjd-457</v>
      </c>
      <c r="B4" s="2" t="str">
        <f aca="false">ticket!D2</f>
        <v>wrqy-juv-978</v>
      </c>
      <c r="C4" s="7" t="str">
        <f aca="false">ticket!B2</f>
        <v>2021-08-19 16:45:43</v>
      </c>
      <c r="D4" s="7" t="str">
        <f aca="false">ticket!C2</f>
        <v>2021-08-22 12:33:32</v>
      </c>
      <c r="E4" s="8" t="str">
        <f aca="false">IF(INT(C4)=INT(D4),"Yes","No")</f>
        <v>No</v>
      </c>
      <c r="F4" s="8" t="str">
        <f aca="false">IF(AND(INT(C4)=INT(D4),HOUR(C4)=HOUR(D4)),"Yes","No")</f>
        <v>No</v>
      </c>
    </row>
    <row r="5" customFormat="false" ht="15" hidden="false" customHeight="false" outlineLevel="0" collapsed="false">
      <c r="A5" s="3" t="str">
        <f aca="false">ticket!A3</f>
        <v>qer-fal-092</v>
      </c>
      <c r="B5" s="3" t="str">
        <f aca="false">ticket!D3</f>
        <v>8woh-k3u-23b</v>
      </c>
      <c r="C5" s="9" t="str">
        <f aca="false">ticket!B3</f>
        <v>2021-08-21 11:09:22</v>
      </c>
      <c r="D5" s="9" t="str">
        <f aca="false">ticket!C3</f>
        <v>2021-08-21 17:13:45</v>
      </c>
      <c r="E5" s="8" t="str">
        <f aca="false">IF(INT(C5)=INT(D5),"Yes","No")</f>
        <v>Yes</v>
      </c>
      <c r="F5" s="8" t="str">
        <f aca="false">IF(AND(INT(C5)=INT(D5),HOUR(C5)=HOUR(D5)),"Yes","No")</f>
        <v>No</v>
      </c>
    </row>
    <row r="6" customFormat="false" ht="15" hidden="false" customHeight="false" outlineLevel="0" collapsed="false">
      <c r="A6" s="2" t="str">
        <f aca="false">ticket!A4</f>
        <v>abt-xyw-103</v>
      </c>
      <c r="B6" s="2" t="str">
        <f aca="false">ticket!D4</f>
        <v>wrqy-juv-978</v>
      </c>
      <c r="C6" s="7" t="str">
        <f aca="false">ticket!B4</f>
        <v>2021-08-21 09:30:00</v>
      </c>
      <c r="D6" s="7" t="str">
        <f aca="false">ticket!C4</f>
        <v>2021-08-21 09:55:10</v>
      </c>
      <c r="E6" s="8" t="str">
        <f aca="false">IF(INT(C6)=INT(D6),"Yes","No")</f>
        <v>Yes</v>
      </c>
      <c r="F6" s="8" t="str">
        <f aca="false">IF(AND(INT(C6)=INT(D6),HOUR(C6)=HOUR(D6)),"Yes","No")</f>
        <v>Yes</v>
      </c>
    </row>
    <row r="7" customFormat="false" ht="15" hidden="false" customHeight="false" outlineLevel="0" collapsed="false">
      <c r="A7" s="3" t="str">
        <f aca="false">ticket!A5</f>
        <v>bcu-mnp-214</v>
      </c>
      <c r="B7" s="3" t="str">
        <f aca="false">ticket!D5</f>
        <v>9jkl-mno-44z</v>
      </c>
      <c r="C7" s="9" t="str">
        <f aca="false">ticket!B5</f>
        <v>2021-08-22 14:00:00</v>
      </c>
      <c r="D7" s="9" t="str">
        <f aca="false">ticket!C5</f>
        <v>2021-08-23 10:00:00</v>
      </c>
      <c r="E7" s="8" t="str">
        <f aca="false">IF(INT(C7)=INT(D7),"Yes","No")</f>
        <v>No</v>
      </c>
      <c r="F7" s="8" t="str">
        <f aca="false">IF(AND(INT(C7)=INT(D7),HOUR(C7)=HOUR(D7)),"Yes","No")</f>
        <v>No</v>
      </c>
    </row>
    <row r="8" customFormat="false" ht="15" hidden="false" customHeight="false" outlineLevel="0" collapsed="false">
      <c r="A8" s="2" t="str">
        <f aca="false">ticket!A6</f>
        <v>cde-rst-325</v>
      </c>
      <c r="B8" s="2" t="str">
        <f aca="false">ticket!D6</f>
        <v>8woh-k3u-23b</v>
      </c>
      <c r="C8" s="7" t="str">
        <f aca="false">ticket!B6</f>
        <v>2021-08-23 08:15:00</v>
      </c>
      <c r="D8" s="7" t="str">
        <f aca="false">ticket!C6</f>
        <v>2021-08-23 08:45:30</v>
      </c>
      <c r="E8" s="8" t="str">
        <f aca="false">IF(INT(C8)=INT(D8),"Yes","No")</f>
        <v>Yes</v>
      </c>
      <c r="F8" s="8" t="str">
        <f aca="false">IF(AND(INT(C8)=INT(D8),HOUR(C8)=HOUR(D8)),"Yes","No")</f>
        <v>Yes</v>
      </c>
    </row>
    <row r="9" customFormat="false" ht="15" hidden="false" customHeight="false" outlineLevel="0" collapsed="false">
      <c r="A9" s="3" t="str">
        <f aca="false">ticket!A7</f>
        <v>def-uvw-436</v>
      </c>
      <c r="B9" s="3" t="str">
        <f aca="false">ticket!D7</f>
        <v>wrqy-juv-978</v>
      </c>
      <c r="C9" s="9" t="str">
        <f aca="false">ticket!B7</f>
        <v>2021-08-23 11:00:00</v>
      </c>
      <c r="D9" s="9" t="str">
        <f aca="false">ticket!C7</f>
        <v>2021-08-24 15:00:00</v>
      </c>
      <c r="E9" s="8" t="str">
        <f aca="false">IF(INT(C9)=INT(D9),"Yes","No")</f>
        <v>No</v>
      </c>
      <c r="F9" s="8" t="str">
        <f aca="false">IF(AND(INT(C9)=INT(D9),HOUR(C9)=HOUR(D9)),"Yes","No")</f>
        <v>No</v>
      </c>
    </row>
    <row r="10" customFormat="false" ht="15" hidden="false" customHeight="false" outlineLevel="0" collapsed="false">
      <c r="A10" s="2" t="str">
        <f aca="false">ticket!A8</f>
        <v>efg-xyz-547</v>
      </c>
      <c r="B10" s="2" t="str">
        <f aca="false">ticket!D8</f>
        <v>9jkl-mno-44z</v>
      </c>
      <c r="C10" s="7" t="str">
        <f aca="false">ticket!B8</f>
        <v>2021-08-24 09:00:00</v>
      </c>
      <c r="D10" s="7" t="str">
        <f aca="false">ticket!C8</f>
        <v>2021-08-24 09:50:00</v>
      </c>
      <c r="E10" s="8" t="str">
        <f aca="false">IF(INT(C10)=INT(D10),"Yes","No")</f>
        <v>Yes</v>
      </c>
      <c r="F10" s="8" t="str">
        <f aca="false">IF(AND(INT(C10)=INT(D10),HOUR(C10)=HOUR(D10)),"Yes","No")</f>
        <v>Yes</v>
      </c>
    </row>
    <row r="11" customFormat="false" ht="15" hidden="false" customHeight="false" outlineLevel="0" collapsed="false">
      <c r="A11" s="3" t="str">
        <f aca="false">ticket!A9</f>
        <v>fgh-abc-658</v>
      </c>
      <c r="B11" s="3" t="str">
        <f aca="false">ticket!D9</f>
        <v>8woh-k3u-23b</v>
      </c>
      <c r="C11" s="9" t="str">
        <f aca="false">ticket!B9</f>
        <v>2021-08-24 13:30:00</v>
      </c>
      <c r="D11" s="9" t="str">
        <f aca="false">ticket!C9</f>
        <v>2021-08-25 13:30:00</v>
      </c>
      <c r="E11" s="8" t="str">
        <f aca="false">IF(INT(C11)=INT(D11),"Yes","No")</f>
        <v>No</v>
      </c>
      <c r="F11" s="8" t="str">
        <f aca="false">IF(AND(INT(C11)=INT(D11),HOUR(C11)=HOUR(D11)),"Yes","No")</f>
        <v>No</v>
      </c>
    </row>
    <row r="12" customFormat="false" ht="15" hidden="false" customHeight="false" outlineLevel="0" collapsed="false">
      <c r="A12" s="2" t="str">
        <f aca="false">ticket!A10</f>
        <v>ghi-bcd-769</v>
      </c>
      <c r="B12" s="2" t="str">
        <f aca="false">ticket!D10</f>
        <v>wrqy-juv-978</v>
      </c>
      <c r="C12" s="7" t="str">
        <f aca="false">ticket!B10</f>
        <v>2021-08-25 10:00:00</v>
      </c>
      <c r="D12" s="7" t="str">
        <f aca="false">ticket!C10</f>
        <v>2021-08-25 10:45:00</v>
      </c>
      <c r="E12" s="8" t="str">
        <f aca="false">IF(INT(C12)=INT(D12),"Yes","No")</f>
        <v>Yes</v>
      </c>
      <c r="F12" s="8" t="str">
        <f aca="false">IF(AND(INT(C12)=INT(D12),HOUR(C12)=HOUR(D12)),"Yes","No")</f>
        <v>Yes</v>
      </c>
    </row>
    <row r="13" customFormat="false" ht="15" hidden="false" customHeight="false" outlineLevel="0" collapsed="false">
      <c r="A13" s="3" t="str">
        <f aca="false">ticket!A11</f>
        <v>hij-cde-870</v>
      </c>
      <c r="B13" s="3" t="str">
        <f aca="false">ticket!D11</f>
        <v>9jkl-mno-44z</v>
      </c>
      <c r="C13" s="9" t="str">
        <f aca="false">ticket!B11</f>
        <v>2021-08-25 14:00:00</v>
      </c>
      <c r="D13" s="9" t="str">
        <f aca="false">ticket!C11</f>
        <v>2021-08-26 09:00:00</v>
      </c>
      <c r="E13" s="8" t="str">
        <f aca="false">IF(INT(C13)=INT(D13),"Yes","No")</f>
        <v>No</v>
      </c>
      <c r="F13" s="8" t="str">
        <f aca="false">IF(AND(INT(C13)=INT(D13),HOUR(C13)=HOUR(D13)),"Yes","No")</f>
        <v>No</v>
      </c>
    </row>
    <row r="15" customFormat="false" ht="15" hidden="false" customHeight="false" outlineLevel="0" collapsed="false">
      <c r="A15" s="10" t="s">
        <v>62</v>
      </c>
      <c r="B15" s="10"/>
      <c r="C15" s="10"/>
      <c r="D15" s="10"/>
      <c r="E15" s="10"/>
      <c r="F15" s="10"/>
    </row>
    <row r="16" customFormat="false" ht="24" hidden="false" customHeight="true" outlineLevel="0" collapsed="false">
      <c r="A16" s="6" t="s">
        <v>3</v>
      </c>
      <c r="B16" s="6" t="s">
        <v>63</v>
      </c>
      <c r="C16" s="6" t="s">
        <v>64</v>
      </c>
      <c r="D16" s="6" t="s">
        <v>65</v>
      </c>
      <c r="E16" s="6" t="s">
        <v>66</v>
      </c>
      <c r="F16" s="6" t="s">
        <v>67</v>
      </c>
    </row>
    <row r="17" customFormat="false" ht="15" hidden="false" customHeight="false" outlineLevel="0" collapsed="false">
      <c r="A17" s="3" t="s">
        <v>8</v>
      </c>
      <c r="B17" s="8" t="n">
        <f aca="false">COUNTIF(ticket!D$2:D$11,A17)</f>
        <v>4</v>
      </c>
      <c r="C17" s="8" t="n">
        <f aca="false">COUNTIFS(B$4:B$13,A17,E$4:E$13,"Yes")</f>
        <v>2</v>
      </c>
      <c r="D17" s="11" t="n">
        <f aca="false">IFERROR(C17/B17,0)</f>
        <v>0.5</v>
      </c>
      <c r="E17" s="8" t="n">
        <f aca="false">COUNTIFS(B$4:B$13,A17,F$4:F$13,"Yes")</f>
        <v>2</v>
      </c>
      <c r="F17" s="11" t="n">
        <f aca="false">IFERROR(E17/B17,0)</f>
        <v>0.5</v>
      </c>
    </row>
    <row r="18" customFormat="false" ht="15" hidden="false" customHeight="false" outlineLevel="0" collapsed="false">
      <c r="A18" s="2" t="s">
        <v>13</v>
      </c>
      <c r="B18" s="8" t="n">
        <f aca="false">COUNTIF(ticket!D$2:D$11,A18)</f>
        <v>3</v>
      </c>
      <c r="C18" s="8" t="n">
        <f aca="false">COUNTIFS(B$4:B$13,A18,E$4:E$13,"Yes")</f>
        <v>2</v>
      </c>
      <c r="D18" s="11" t="n">
        <f aca="false">IFERROR(C18/B18,0)</f>
        <v>0.666666666666667</v>
      </c>
      <c r="E18" s="8" t="n">
        <f aca="false">COUNTIFS(B$4:B$13,A18,F$4:F$13,"Yes")</f>
        <v>1</v>
      </c>
      <c r="F18" s="11" t="n">
        <f aca="false">IFERROR(E18/B18,0)</f>
        <v>0.333333333333333</v>
      </c>
    </row>
    <row r="19" customFormat="false" ht="15" hidden="false" customHeight="false" outlineLevel="0" collapsed="false">
      <c r="A19" s="3" t="s">
        <v>22</v>
      </c>
      <c r="B19" s="8" t="n">
        <f aca="false">COUNTIF(ticket!D$2:D$11,A19)</f>
        <v>3</v>
      </c>
      <c r="C19" s="8" t="n">
        <f aca="false">COUNTIFS(B$4:B$13,A19,E$4:E$13,"Yes")</f>
        <v>1</v>
      </c>
      <c r="D19" s="11" t="n">
        <f aca="false">IFERROR(C19/B19,0)</f>
        <v>0.333333333333333</v>
      </c>
      <c r="E19" s="8" t="n">
        <f aca="false">COUNTIFS(B$4:B$13,A19,F$4:F$13,"Yes")</f>
        <v>1</v>
      </c>
      <c r="F19" s="11" t="n">
        <f aca="false">IFERROR(E19/B19,0)</f>
        <v>0.333333333333333</v>
      </c>
    </row>
    <row r="22" customFormat="false" ht="15" hidden="false" customHeight="false" outlineLevel="0" collapsed="false">
      <c r="A22" s="12" t="s">
        <v>68</v>
      </c>
      <c r="B22" s="13" t="s">
        <v>69</v>
      </c>
      <c r="C22" s="13"/>
      <c r="D22" s="13"/>
      <c r="E22" s="13"/>
      <c r="F22" s="13"/>
      <c r="G22" s="13"/>
    </row>
  </sheetData>
  <mergeCells count="3">
    <mergeCell ref="A1:G1"/>
    <mergeCell ref="A15:F15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2026-04-09T07:18:14Z</dcterms:created>
  <dc:creator>openpyxl</dc:creator>
  <dc:description/>
  <dc:language>en-US</dc:language>
  <cp:lastModifiedBy/>
  <dcterms:modified xsi:type="dcterms:W3CDTF">2026-04-09T07:18:14Z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