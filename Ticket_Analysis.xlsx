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eeth\Downloads\files (8)\"/>
    </mc:Choice>
  </mc:AlternateContent>
  <xr:revisionPtr revIDLastSave="0" documentId="13_ncr:1_{77775597-1CF7-4662-A2C2-A1CF6FE59301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ticket" sheetId="1" r:id="rId1"/>
    <sheet name="feedbacks" sheetId="2" r:id="rId2"/>
    <sheet name="Analysis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" i="3" l="1"/>
  <c r="D3" i="2"/>
  <c r="D4" i="2"/>
  <c r="D5" i="2"/>
  <c r="D6" i="2"/>
  <c r="D7" i="2"/>
  <c r="D8" i="2"/>
  <c r="D9" i="2"/>
  <c r="D10" i="2"/>
  <c r="D11" i="2"/>
  <c r="D2" i="2"/>
  <c r="B19" i="3"/>
  <c r="B18" i="3"/>
  <c r="B17" i="3"/>
  <c r="D13" i="3"/>
  <c r="C13" i="3"/>
  <c r="F13" i="3" s="1"/>
  <c r="B13" i="3"/>
  <c r="A13" i="3"/>
  <c r="D12" i="3"/>
  <c r="E12" i="3" s="1"/>
  <c r="C12" i="3"/>
  <c r="B12" i="3"/>
  <c r="A12" i="3"/>
  <c r="D11" i="3"/>
  <c r="C11" i="3"/>
  <c r="F11" i="3" s="1"/>
  <c r="B11" i="3"/>
  <c r="A11" i="3"/>
  <c r="D10" i="3"/>
  <c r="E10" i="3" s="1"/>
  <c r="C10" i="3"/>
  <c r="B10" i="3"/>
  <c r="A10" i="3"/>
  <c r="D9" i="3"/>
  <c r="C9" i="3"/>
  <c r="F9" i="3" s="1"/>
  <c r="B9" i="3"/>
  <c r="A9" i="3"/>
  <c r="D8" i="3"/>
  <c r="E8" i="3" s="1"/>
  <c r="C8" i="3"/>
  <c r="B8" i="3"/>
  <c r="A8" i="3"/>
  <c r="D7" i="3"/>
  <c r="C7" i="3"/>
  <c r="F7" i="3" s="1"/>
  <c r="B7" i="3"/>
  <c r="A7" i="3"/>
  <c r="D6" i="3"/>
  <c r="E6" i="3" s="1"/>
  <c r="C6" i="3"/>
  <c r="B6" i="3"/>
  <c r="A6" i="3"/>
  <c r="D5" i="3"/>
  <c r="C5" i="3"/>
  <c r="F5" i="3" s="1"/>
  <c r="B5" i="3"/>
  <c r="A5" i="3"/>
  <c r="D4" i="3"/>
  <c r="F4" i="3" s="1"/>
  <c r="C4" i="3"/>
  <c r="B4" i="3"/>
  <c r="A4" i="3"/>
  <c r="F6" i="3" l="1"/>
  <c r="E17" i="3" s="1"/>
  <c r="F17" i="3" s="1"/>
  <c r="F8" i="3"/>
  <c r="E18" i="3" s="1"/>
  <c r="F18" i="3" s="1"/>
  <c r="F10" i="3"/>
  <c r="E19" i="3" s="1"/>
  <c r="F19" i="3" s="1"/>
  <c r="F12" i="3"/>
  <c r="E5" i="3"/>
  <c r="C18" i="3" s="1"/>
  <c r="D18" i="3" s="1"/>
  <c r="E7" i="3"/>
  <c r="C19" i="3" s="1"/>
  <c r="D19" i="3" s="1"/>
  <c r="E9" i="3"/>
  <c r="E11" i="3"/>
  <c r="E13" i="3"/>
  <c r="C17" i="3" l="1"/>
  <c r="D17" i="3" s="1"/>
</calcChain>
</file>

<file path=xl/sharedStrings.xml><?xml version="1.0" encoding="utf-8"?>
<sst xmlns="http://schemas.openxmlformats.org/spreadsheetml/2006/main" count="96" uniqueCount="68">
  <si>
    <t>ticket_id</t>
  </si>
  <si>
    <t>created_at</t>
  </si>
  <si>
    <t>closed_at</t>
  </si>
  <si>
    <t>outlet_id</t>
  </si>
  <si>
    <t>cms_id</t>
  </si>
  <si>
    <t>isu-sjd-457</t>
  </si>
  <si>
    <t>2021-08-19 16:45:43</t>
  </si>
  <si>
    <t>2021-08-22 12:33:32</t>
  </si>
  <si>
    <t>wrqy-juv-978</t>
  </si>
  <si>
    <t>vew-iuvd-12</t>
  </si>
  <si>
    <t>qer-fal-092</t>
  </si>
  <si>
    <t>2021-08-21 11:09:22</t>
  </si>
  <si>
    <t>2021-08-21 17:13:45</t>
  </si>
  <si>
    <t>8woh-k3u-23b</t>
  </si>
  <si>
    <t>mxp-tyuv-45</t>
  </si>
  <si>
    <t>abt-xyw-103</t>
  </si>
  <si>
    <t>2021-08-21 09:30:00</t>
  </si>
  <si>
    <t>2021-08-21 09:55:10</t>
  </si>
  <si>
    <t>krl-qpow-78</t>
  </si>
  <si>
    <t>bcu-mnp-214</t>
  </si>
  <si>
    <t>2021-08-22 14:00:00</t>
  </si>
  <si>
    <t>2021-08-23 10:00:00</t>
  </si>
  <si>
    <t>9jkl-mno-44z</t>
  </si>
  <si>
    <t>bnm-loiu-33</t>
  </si>
  <si>
    <t>cde-rst-325</t>
  </si>
  <si>
    <t>2021-08-23 08:15:00</t>
  </si>
  <si>
    <t>2021-08-23 08:45:30</t>
  </si>
  <si>
    <t>plm-okij-91</t>
  </si>
  <si>
    <t>def-uvw-436</t>
  </si>
  <si>
    <t>2021-08-23 11:00:00</t>
  </si>
  <si>
    <t>2021-08-24 15:00:00</t>
  </si>
  <si>
    <t>zxc-vbnm-56</t>
  </si>
  <si>
    <t>efg-xyz-547</t>
  </si>
  <si>
    <t>2021-08-24 09:00:00</t>
  </si>
  <si>
    <t>2021-08-24 09:50:00</t>
  </si>
  <si>
    <t>qaz-wsx-67</t>
  </si>
  <si>
    <t>fgh-abc-658</t>
  </si>
  <si>
    <t>2021-08-24 13:30:00</t>
  </si>
  <si>
    <t>2021-08-25 13:30:00</t>
  </si>
  <si>
    <t>edc-rfv-82</t>
  </si>
  <si>
    <t>ghi-bcd-769</t>
  </si>
  <si>
    <t>2021-08-25 10:00:00</t>
  </si>
  <si>
    <t>2021-08-25 10:45:00</t>
  </si>
  <si>
    <t>tgb-yhn-93</t>
  </si>
  <si>
    <t>hij-cde-870</t>
  </si>
  <si>
    <t>2021-08-25 14:00:00</t>
  </si>
  <si>
    <t>2021-08-26 09:00:00</t>
  </si>
  <si>
    <t>ujm-ikl-04</t>
  </si>
  <si>
    <t>feedback_at</t>
  </si>
  <si>
    <t>feedback_rating</t>
  </si>
  <si>
    <t>ticket_created_at</t>
  </si>
  <si>
    <t>2021-08-21 13:26:48</t>
  </si>
  <si>
    <t>2021-08-22 09:00:00</t>
  </si>
  <si>
    <t>2021-08-21 10:30:00</t>
  </si>
  <si>
    <t>2021-08-23 09:00:00</t>
  </si>
  <si>
    <t>2021-08-24 08:00:00</t>
  </si>
  <si>
    <t>2021-08-24 10:00:00</t>
  </si>
  <si>
    <t>2021-08-25 11:00:00</t>
  </si>
  <si>
    <t>2021-08-26 10:00:00</t>
  </si>
  <si>
    <t>Ticket Analysis – Same Day &amp; Same Hour Closure</t>
  </si>
  <si>
    <t>Same Day?</t>
  </si>
  <si>
    <t>Same Hour?</t>
  </si>
  <si>
    <t>Summary – Outlet-wise Counts</t>
  </si>
  <si>
    <t>Total Tickets</t>
  </si>
  <si>
    <t>Closed Same Day (Count)</t>
  </si>
  <si>
    <t>Closed Same Day (%)</t>
  </si>
  <si>
    <t>Closed Same Hour (Count)</t>
  </si>
  <si>
    <t>Closed Same Hour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</si>
</sst>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0.0%"/>
  </numFmts>
  <fonts count="7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0"/>
      <color rgb="FF006400"/>
      <name val="Arial"/>
      <charset val="1"/>
    </font>
    <font>
      <b/>
      <sz val="13"/>
      <color rgb="FFFFFFFF"/>
      <name val="Arial"/>
      <charset val="1"/>
    </font>
    <font>
      <b/>
      <sz val="10"/>
      <name val="Arial"/>
      <charset val="1"/>
    </font>
    <font>
      <i/>
      <sz val="9"/>
      <color rgb="FF595959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EEAF1"/>
        <bgColor rgb="FFE2EFDA"/>
      </patternFill>
    </fill>
    <fill>
      <patternFill patternType="solid">
        <fgColor rgb="FFE2EFDA"/>
        <bgColor rgb="FFDEEAF1"/>
      </patternFill>
    </fill>
    <fill>
      <patternFill patternType="solid">
        <fgColor rgb="FF2E75B6"/>
        <bgColor rgb="FF0066CC"/>
      </patternFill>
    </fill>
    <fill>
      <patternFill patternType="solid">
        <fgColor rgb="FFFFF2CC"/>
        <bgColor rgb="FFE2EFDA"/>
      </patternFill>
    </fill>
  </fills>
  <borders count="2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6" fillId="0" borderId="0" xfId="0" applyFont="1"/>
    <xf numFmtId="0" fontId="4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 wrapText="1"/>
    </xf>
    <xf numFmtId="164" fontId="2" fillId="3" borderId="1" xfId="0" applyNumberFormat="1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left" vertical="center"/>
    </xf>
    <xf numFmtId="165" fontId="3" fillId="4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5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4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AF1"/>
      <rgbColor rgb="FF660066"/>
      <rgbColor rgb="FFFF8080"/>
      <rgbColor rgb="FF0066CC"/>
      <rgbColor rgb="FFB8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zoomScaleNormal="100" workbookViewId="0">
      <selection activeCell="F19" sqref="F19"/>
    </sheetView>
  </sheetViews>
  <sheetFormatPr defaultColWidth="8.6640625" defaultRowHeight="14.4" x14ac:dyDescent="0.3"/>
  <cols>
    <col min="1" max="1" width="18" customWidth="1"/>
    <col min="2" max="3" width="22" customWidth="1"/>
    <col min="4" max="4" width="18" customWidth="1"/>
    <col min="5" max="5" width="16" customWidth="1"/>
    <col min="6" max="6" width="8.6640625" customWidth="1"/>
  </cols>
  <sheetData>
    <row r="1" spans="1:5" ht="27.75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 x14ac:dyDescent="0.3">
      <c r="A2" s="4" t="s">
        <v>5</v>
      </c>
      <c r="B2" s="4" t="s">
        <v>6</v>
      </c>
      <c r="C2" s="4" t="s">
        <v>7</v>
      </c>
      <c r="D2" s="4" t="s">
        <v>8</v>
      </c>
      <c r="E2" s="4" t="s">
        <v>9</v>
      </c>
    </row>
    <row r="3" spans="1:5" x14ac:dyDescent="0.3">
      <c r="A3" s="5" t="s">
        <v>10</v>
      </c>
      <c r="B3" s="5" t="s">
        <v>11</v>
      </c>
      <c r="C3" s="5" t="s">
        <v>12</v>
      </c>
      <c r="D3" s="5" t="s">
        <v>13</v>
      </c>
      <c r="E3" s="5" t="s">
        <v>14</v>
      </c>
    </row>
    <row r="4" spans="1:5" x14ac:dyDescent="0.3">
      <c r="A4" s="4" t="s">
        <v>15</v>
      </c>
      <c r="B4" s="4" t="s">
        <v>16</v>
      </c>
      <c r="C4" s="4" t="s">
        <v>17</v>
      </c>
      <c r="D4" s="4" t="s">
        <v>8</v>
      </c>
      <c r="E4" s="4" t="s">
        <v>18</v>
      </c>
    </row>
    <row r="5" spans="1:5" x14ac:dyDescent="0.3">
      <c r="A5" s="5" t="s">
        <v>19</v>
      </c>
      <c r="B5" s="5" t="s">
        <v>20</v>
      </c>
      <c r="C5" s="5" t="s">
        <v>21</v>
      </c>
      <c r="D5" s="5" t="s">
        <v>22</v>
      </c>
      <c r="E5" s="5" t="s">
        <v>23</v>
      </c>
    </row>
    <row r="6" spans="1:5" x14ac:dyDescent="0.3">
      <c r="A6" s="4" t="s">
        <v>24</v>
      </c>
      <c r="B6" s="4" t="s">
        <v>25</v>
      </c>
      <c r="C6" s="4" t="s">
        <v>26</v>
      </c>
      <c r="D6" s="4" t="s">
        <v>13</v>
      </c>
      <c r="E6" s="4" t="s">
        <v>27</v>
      </c>
    </row>
    <row r="7" spans="1:5" x14ac:dyDescent="0.3">
      <c r="A7" s="5" t="s">
        <v>28</v>
      </c>
      <c r="B7" s="5" t="s">
        <v>29</v>
      </c>
      <c r="C7" s="5" t="s">
        <v>30</v>
      </c>
      <c r="D7" s="5" t="s">
        <v>8</v>
      </c>
      <c r="E7" s="5" t="s">
        <v>31</v>
      </c>
    </row>
    <row r="8" spans="1:5" x14ac:dyDescent="0.3">
      <c r="A8" s="4" t="s">
        <v>32</v>
      </c>
      <c r="B8" s="4" t="s">
        <v>33</v>
      </c>
      <c r="C8" s="4" t="s">
        <v>34</v>
      </c>
      <c r="D8" s="4" t="s">
        <v>22</v>
      </c>
      <c r="E8" s="4" t="s">
        <v>35</v>
      </c>
    </row>
    <row r="9" spans="1:5" x14ac:dyDescent="0.3">
      <c r="A9" s="5" t="s">
        <v>36</v>
      </c>
      <c r="B9" s="5" t="s">
        <v>37</v>
      </c>
      <c r="C9" s="5" t="s">
        <v>38</v>
      </c>
      <c r="D9" s="5" t="s">
        <v>13</v>
      </c>
      <c r="E9" s="5" t="s">
        <v>39</v>
      </c>
    </row>
    <row r="10" spans="1:5" x14ac:dyDescent="0.3">
      <c r="A10" s="4" t="s">
        <v>40</v>
      </c>
      <c r="B10" s="4" t="s">
        <v>41</v>
      </c>
      <c r="C10" s="4" t="s">
        <v>42</v>
      </c>
      <c r="D10" s="4" t="s">
        <v>8</v>
      </c>
      <c r="E10" s="4" t="s">
        <v>43</v>
      </c>
    </row>
    <row r="11" spans="1:5" x14ac:dyDescent="0.3">
      <c r="A11" s="5" t="s">
        <v>44</v>
      </c>
      <c r="B11" s="5" t="s">
        <v>45</v>
      </c>
      <c r="C11" s="5" t="s">
        <v>46</v>
      </c>
      <c r="D11" s="5" t="s">
        <v>22</v>
      </c>
      <c r="E11" s="5" t="s">
        <v>47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zoomScaleNormal="100" workbookViewId="0">
      <selection activeCell="D11" sqref="D1:D11"/>
    </sheetView>
  </sheetViews>
  <sheetFormatPr defaultColWidth="8.6640625" defaultRowHeight="14.4" x14ac:dyDescent="0.3"/>
  <cols>
    <col min="1" max="1" width="16" customWidth="1"/>
    <col min="2" max="2" width="22" customWidth="1"/>
    <col min="3" max="3" width="18" customWidth="1"/>
    <col min="4" max="4" width="24" customWidth="1"/>
  </cols>
  <sheetData>
    <row r="1" spans="1:4" ht="27.75" customHeight="1" x14ac:dyDescent="0.3">
      <c r="A1" s="3" t="s">
        <v>4</v>
      </c>
      <c r="B1" s="3" t="s">
        <v>48</v>
      </c>
      <c r="C1" s="3" t="s">
        <v>49</v>
      </c>
      <c r="D1" s="3" t="s">
        <v>50</v>
      </c>
    </row>
    <row r="2" spans="1:4" x14ac:dyDescent="0.3">
      <c r="A2" s="4" t="s">
        <v>9</v>
      </c>
      <c r="B2" s="4" t="s">
        <v>51</v>
      </c>
      <c r="C2" s="4">
        <v>3</v>
      </c>
      <c r="D2" s="6" t="str">
        <f>IFERROR(INDEX(ticket!$B:$B, MATCH(A2, ticket!$E:$E, 0)), "Not Found")</f>
        <v>2021-08-19 16:45:43</v>
      </c>
    </row>
    <row r="3" spans="1:4" x14ac:dyDescent="0.3">
      <c r="A3" s="5" t="s">
        <v>14</v>
      </c>
      <c r="B3" s="5" t="s">
        <v>52</v>
      </c>
      <c r="C3" s="5">
        <v>4</v>
      </c>
      <c r="D3" s="6" t="str">
        <f>IFERROR(INDEX(ticket!$B:$B, MATCH(A3, ticket!$E:$E, 0)), "Not Found")</f>
        <v>2021-08-21 11:09:22</v>
      </c>
    </row>
    <row r="4" spans="1:4" x14ac:dyDescent="0.3">
      <c r="A4" s="4" t="s">
        <v>18</v>
      </c>
      <c r="B4" s="4" t="s">
        <v>53</v>
      </c>
      <c r="C4" s="4">
        <v>5</v>
      </c>
      <c r="D4" s="6" t="str">
        <f>IFERROR(INDEX(ticket!$B:$B, MATCH(A4, ticket!$E:$E, 0)), "Not Found")</f>
        <v>2021-08-21 09:30:00</v>
      </c>
    </row>
    <row r="5" spans="1:4" x14ac:dyDescent="0.3">
      <c r="A5" s="5" t="s">
        <v>23</v>
      </c>
      <c r="B5" s="5" t="s">
        <v>29</v>
      </c>
      <c r="C5" s="5">
        <v>2</v>
      </c>
      <c r="D5" s="6" t="str">
        <f>IFERROR(INDEX(ticket!$B:$B, MATCH(A5, ticket!$E:$E, 0)), "Not Found")</f>
        <v>2021-08-22 14:00:00</v>
      </c>
    </row>
    <row r="6" spans="1:4" x14ac:dyDescent="0.3">
      <c r="A6" s="4" t="s">
        <v>27</v>
      </c>
      <c r="B6" s="4" t="s">
        <v>54</v>
      </c>
      <c r="C6" s="4">
        <v>4</v>
      </c>
      <c r="D6" s="6" t="str">
        <f>IFERROR(INDEX(ticket!$B:$B, MATCH(A6, ticket!$E:$E, 0)), "Not Found")</f>
        <v>2021-08-23 08:15:00</v>
      </c>
    </row>
    <row r="7" spans="1:4" x14ac:dyDescent="0.3">
      <c r="A7" s="5" t="s">
        <v>31</v>
      </c>
      <c r="B7" s="5" t="s">
        <v>55</v>
      </c>
      <c r="C7" s="5">
        <v>3</v>
      </c>
      <c r="D7" s="6" t="str">
        <f>IFERROR(INDEX(ticket!$B:$B, MATCH(A7, ticket!$E:$E, 0)), "Not Found")</f>
        <v>2021-08-23 11:00:00</v>
      </c>
    </row>
    <row r="8" spans="1:4" x14ac:dyDescent="0.3">
      <c r="A8" s="4" t="s">
        <v>35</v>
      </c>
      <c r="B8" s="4" t="s">
        <v>56</v>
      </c>
      <c r="C8" s="4">
        <v>5</v>
      </c>
      <c r="D8" s="6" t="str">
        <f>IFERROR(INDEX(ticket!$B:$B, MATCH(A8, ticket!$E:$E, 0)), "Not Found")</f>
        <v>2021-08-24 09:00:00</v>
      </c>
    </row>
    <row r="9" spans="1:4" x14ac:dyDescent="0.3">
      <c r="A9" s="5" t="s">
        <v>39</v>
      </c>
      <c r="B9" s="5" t="s">
        <v>45</v>
      </c>
      <c r="C9" s="5">
        <v>1</v>
      </c>
      <c r="D9" s="6" t="str">
        <f>IFERROR(INDEX(ticket!$B:$B, MATCH(A9, ticket!$E:$E, 0)), "Not Found")</f>
        <v>2021-08-24 13:30:00</v>
      </c>
    </row>
    <row r="10" spans="1:4" x14ac:dyDescent="0.3">
      <c r="A10" s="4" t="s">
        <v>43</v>
      </c>
      <c r="B10" s="4" t="s">
        <v>57</v>
      </c>
      <c r="C10" s="4">
        <v>4</v>
      </c>
      <c r="D10" s="6" t="str">
        <f>IFERROR(INDEX(ticket!$B:$B, MATCH(A10, ticket!$E:$E, 0)), "Not Found")</f>
        <v>2021-08-25 10:00:00</v>
      </c>
    </row>
    <row r="11" spans="1:4" x14ac:dyDescent="0.3">
      <c r="A11" s="5" t="s">
        <v>47</v>
      </c>
      <c r="B11" s="5" t="s">
        <v>58</v>
      </c>
      <c r="C11" s="5">
        <v>3</v>
      </c>
      <c r="D11" s="6" t="str">
        <f>IFERROR(INDEX(ticket!$B:$B, MATCH(A11, ticket!$E:$E, 0)), "Not Found")</f>
        <v>2021-08-25 14:00:00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2"/>
  <sheetViews>
    <sheetView zoomScaleNormal="100" workbookViewId="0">
      <selection activeCell="F23" sqref="F23"/>
    </sheetView>
  </sheetViews>
  <sheetFormatPr defaultColWidth="8.6640625" defaultRowHeight="14.4" x14ac:dyDescent="0.3"/>
  <cols>
    <col min="1" max="2" width="18" customWidth="1"/>
    <col min="3" max="4" width="22" customWidth="1"/>
    <col min="5" max="6" width="14" customWidth="1"/>
    <col min="7" max="7" width="10" customWidth="1"/>
  </cols>
  <sheetData>
    <row r="1" spans="1:7" ht="31.5" customHeight="1" x14ac:dyDescent="0.3">
      <c r="A1" s="2" t="s">
        <v>59</v>
      </c>
      <c r="B1" s="2"/>
      <c r="C1" s="2"/>
      <c r="D1" s="2"/>
      <c r="E1" s="2"/>
      <c r="F1" s="2"/>
      <c r="G1" s="2"/>
    </row>
    <row r="3" spans="1:7" ht="24" customHeight="1" x14ac:dyDescent="0.3">
      <c r="A3" s="7" t="s">
        <v>0</v>
      </c>
      <c r="B3" s="7" t="s">
        <v>3</v>
      </c>
      <c r="C3" s="7" t="s">
        <v>1</v>
      </c>
      <c r="D3" s="7" t="s">
        <v>2</v>
      </c>
      <c r="E3" s="7" t="s">
        <v>60</v>
      </c>
      <c r="F3" s="7" t="s">
        <v>61</v>
      </c>
    </row>
    <row r="4" spans="1:7" x14ac:dyDescent="0.3">
      <c r="A4" s="4" t="str">
        <f>ticket!A2</f>
        <v>isu-sjd-457</v>
      </c>
      <c r="B4" s="4" t="str">
        <f>ticket!D2</f>
        <v>wrqy-juv-978</v>
      </c>
      <c r="C4" s="8" t="str">
        <f>ticket!B2</f>
        <v>2021-08-19 16:45:43</v>
      </c>
      <c r="D4" s="8" t="str">
        <f>ticket!C2</f>
        <v>2021-08-22 12:33:32</v>
      </c>
      <c r="E4" s="9" t="str">
        <f t="shared" ref="E4:E13" si="0">IF(INT(C4)=INT(D4),"Yes","No")</f>
        <v>No</v>
      </c>
      <c r="F4" s="9" t="str">
        <f t="shared" ref="F4:F13" si="1">IF(AND(INT(C4)=INT(D4),HOUR(C4)=HOUR(D4)),"Yes","No")</f>
        <v>No</v>
      </c>
    </row>
    <row r="5" spans="1:7" x14ac:dyDescent="0.3">
      <c r="A5" s="5" t="str">
        <f>ticket!A3</f>
        <v>qer-fal-092</v>
      </c>
      <c r="B5" s="5" t="str">
        <f>ticket!D3</f>
        <v>8woh-k3u-23b</v>
      </c>
      <c r="C5" s="10" t="str">
        <f>ticket!B3</f>
        <v>2021-08-21 11:09:22</v>
      </c>
      <c r="D5" s="10" t="str">
        <f>ticket!C3</f>
        <v>2021-08-21 17:13:45</v>
      </c>
      <c r="E5" s="9" t="str">
        <f t="shared" si="0"/>
        <v>Yes</v>
      </c>
      <c r="F5" s="9" t="str">
        <f t="shared" si="1"/>
        <v>No</v>
      </c>
    </row>
    <row r="6" spans="1:7" x14ac:dyDescent="0.3">
      <c r="A6" s="4" t="str">
        <f>ticket!A4</f>
        <v>abt-xyw-103</v>
      </c>
      <c r="B6" s="4" t="str">
        <f>ticket!D4</f>
        <v>wrqy-juv-978</v>
      </c>
      <c r="C6" s="8" t="str">
        <f>ticket!B4</f>
        <v>2021-08-21 09:30:00</v>
      </c>
      <c r="D6" s="8" t="str">
        <f>ticket!C4</f>
        <v>2021-08-21 09:55:10</v>
      </c>
      <c r="E6" s="9" t="str">
        <f t="shared" si="0"/>
        <v>Yes</v>
      </c>
      <c r="F6" s="9" t="str">
        <f t="shared" si="1"/>
        <v>Yes</v>
      </c>
    </row>
    <row r="7" spans="1:7" x14ac:dyDescent="0.3">
      <c r="A7" s="5" t="str">
        <f>ticket!A5</f>
        <v>bcu-mnp-214</v>
      </c>
      <c r="B7" s="5" t="str">
        <f>ticket!D5</f>
        <v>9jkl-mno-44z</v>
      </c>
      <c r="C7" s="10" t="str">
        <f>ticket!B5</f>
        <v>2021-08-22 14:00:00</v>
      </c>
      <c r="D7" s="10" t="str">
        <f>ticket!C5</f>
        <v>2021-08-23 10:00:00</v>
      </c>
      <c r="E7" s="9" t="str">
        <f t="shared" si="0"/>
        <v>No</v>
      </c>
      <c r="F7" s="9" t="str">
        <f t="shared" si="1"/>
        <v>No</v>
      </c>
    </row>
    <row r="8" spans="1:7" x14ac:dyDescent="0.3">
      <c r="A8" s="4" t="str">
        <f>ticket!A6</f>
        <v>cde-rst-325</v>
      </c>
      <c r="B8" s="4" t="str">
        <f>ticket!D6</f>
        <v>8woh-k3u-23b</v>
      </c>
      <c r="C8" s="8" t="str">
        <f>ticket!B6</f>
        <v>2021-08-23 08:15:00</v>
      </c>
      <c r="D8" s="8" t="str">
        <f>ticket!C6</f>
        <v>2021-08-23 08:45:30</v>
      </c>
      <c r="E8" s="9" t="str">
        <f t="shared" si="0"/>
        <v>Yes</v>
      </c>
      <c r="F8" s="9" t="str">
        <f t="shared" si="1"/>
        <v>Yes</v>
      </c>
    </row>
    <row r="9" spans="1:7" x14ac:dyDescent="0.3">
      <c r="A9" s="5" t="str">
        <f>ticket!A7</f>
        <v>def-uvw-436</v>
      </c>
      <c r="B9" s="5" t="str">
        <f>ticket!D7</f>
        <v>wrqy-juv-978</v>
      </c>
      <c r="C9" s="10" t="str">
        <f>ticket!B7</f>
        <v>2021-08-23 11:00:00</v>
      </c>
      <c r="D9" s="10" t="str">
        <f>ticket!C7</f>
        <v>2021-08-24 15:00:00</v>
      </c>
      <c r="E9" s="9" t="str">
        <f t="shared" si="0"/>
        <v>No</v>
      </c>
      <c r="F9" s="9" t="str">
        <f t="shared" si="1"/>
        <v>No</v>
      </c>
    </row>
    <row r="10" spans="1:7" x14ac:dyDescent="0.3">
      <c r="A10" s="4" t="str">
        <f>ticket!A8</f>
        <v>efg-xyz-547</v>
      </c>
      <c r="B10" s="4" t="str">
        <f>ticket!D8</f>
        <v>9jkl-mno-44z</v>
      </c>
      <c r="C10" s="8" t="str">
        <f>ticket!B8</f>
        <v>2021-08-24 09:00:00</v>
      </c>
      <c r="D10" s="8" t="str">
        <f>ticket!C8</f>
        <v>2021-08-24 09:50:00</v>
      </c>
      <c r="E10" s="9" t="str">
        <f t="shared" si="0"/>
        <v>Yes</v>
      </c>
      <c r="F10" s="9" t="str">
        <f t="shared" si="1"/>
        <v>Yes</v>
      </c>
    </row>
    <row r="11" spans="1:7" x14ac:dyDescent="0.3">
      <c r="A11" s="5" t="str">
        <f>ticket!A9</f>
        <v>fgh-abc-658</v>
      </c>
      <c r="B11" s="5" t="str">
        <f>ticket!D9</f>
        <v>8woh-k3u-23b</v>
      </c>
      <c r="C11" s="10" t="str">
        <f>ticket!B9</f>
        <v>2021-08-24 13:30:00</v>
      </c>
      <c r="D11" s="10" t="str">
        <f>ticket!C9</f>
        <v>2021-08-25 13:30:00</v>
      </c>
      <c r="E11" s="9" t="str">
        <f t="shared" si="0"/>
        <v>No</v>
      </c>
      <c r="F11" s="9" t="str">
        <f t="shared" si="1"/>
        <v>No</v>
      </c>
    </row>
    <row r="12" spans="1:7" x14ac:dyDescent="0.3">
      <c r="A12" s="4" t="str">
        <f>ticket!A10</f>
        <v>ghi-bcd-769</v>
      </c>
      <c r="B12" s="4" t="str">
        <f>ticket!D10</f>
        <v>wrqy-juv-978</v>
      </c>
      <c r="C12" s="8" t="str">
        <f>ticket!B10</f>
        <v>2021-08-25 10:00:00</v>
      </c>
      <c r="D12" s="8" t="str">
        <f>ticket!C10</f>
        <v>2021-08-25 10:45:00</v>
      </c>
      <c r="E12" s="9" t="str">
        <f t="shared" si="0"/>
        <v>Yes</v>
      </c>
      <c r="F12" s="9" t="str">
        <f t="shared" si="1"/>
        <v>Yes</v>
      </c>
    </row>
    <row r="13" spans="1:7" x14ac:dyDescent="0.3">
      <c r="A13" s="5" t="str">
        <f>ticket!A11</f>
        <v>hij-cde-870</v>
      </c>
      <c r="B13" s="5" t="str">
        <f>ticket!D11</f>
        <v>9jkl-mno-44z</v>
      </c>
      <c r="C13" s="10" t="str">
        <f>ticket!B11</f>
        <v>2021-08-25 14:00:00</v>
      </c>
      <c r="D13" s="10" t="str">
        <f>ticket!C11</f>
        <v>2021-08-26 09:00:00</v>
      </c>
      <c r="E13" s="9" t="str">
        <f t="shared" si="0"/>
        <v>No</v>
      </c>
      <c r="F13" s="9" t="str">
        <f t="shared" si="1"/>
        <v>No</v>
      </c>
    </row>
    <row r="15" spans="1:7" x14ac:dyDescent="0.3">
      <c r="A15" s="13" t="s">
        <v>62</v>
      </c>
      <c r="B15" s="13"/>
      <c r="C15" s="13"/>
      <c r="D15" s="13"/>
      <c r="E15" s="13"/>
      <c r="F15" s="13"/>
    </row>
    <row r="16" spans="1:7" ht="24" customHeight="1" x14ac:dyDescent="0.3">
      <c r="A16" s="7" t="s">
        <v>3</v>
      </c>
      <c r="B16" s="7" t="s">
        <v>63</v>
      </c>
      <c r="C16" s="7" t="s">
        <v>64</v>
      </c>
      <c r="D16" s="7" t="s">
        <v>65</v>
      </c>
      <c r="E16" s="7" t="s">
        <v>66</v>
      </c>
      <c r="F16" s="7" t="s">
        <v>67</v>
      </c>
    </row>
    <row r="17" spans="1:7" x14ac:dyDescent="0.3">
      <c r="A17" s="5" t="s">
        <v>8</v>
      </c>
      <c r="B17" s="9">
        <f>COUNTIF(ticket!D$2:D$11,A17)</f>
        <v>4</v>
      </c>
      <c r="C17" s="9">
        <f>COUNTIFS(B$4:B$13,A17,E$4:E$13,"Yes")</f>
        <v>2</v>
      </c>
      <c r="D17" s="11">
        <f>IFERROR(C17/B17,0)</f>
        <v>0.5</v>
      </c>
      <c r="E17" s="9">
        <f>COUNTIFS(B$4:B$13,A17,F$4:F$13,"Yes")</f>
        <v>2</v>
      </c>
      <c r="F17" s="11">
        <f>IFERROR(E17/B17,0)</f>
        <v>0.5</v>
      </c>
    </row>
    <row r="18" spans="1:7" x14ac:dyDescent="0.3">
      <c r="A18" s="4" t="s">
        <v>13</v>
      </c>
      <c r="B18" s="9">
        <f>COUNTIF(ticket!D$2:D$11,A18)</f>
        <v>3</v>
      </c>
      <c r="C18" s="9">
        <f>COUNTIFS(B$4:B$13,A18,E$4:E$13,"Yes")</f>
        <v>2</v>
      </c>
      <c r="D18" s="11">
        <f>IFERROR(C18/B18,0)</f>
        <v>0.66666666666666663</v>
      </c>
      <c r="E18" s="9">
        <f>COUNTIFS(B$4:B$13,A18,F$4:F$13,"Yes")</f>
        <v>1</v>
      </c>
      <c r="F18" s="11">
        <f>IFERROR(E18/B18,0)</f>
        <v>0.33333333333333331</v>
      </c>
    </row>
    <row r="19" spans="1:7" x14ac:dyDescent="0.3">
      <c r="A19" s="5" t="s">
        <v>22</v>
      </c>
      <c r="B19" s="9">
        <f>COUNTIF(ticket!D$2:D$11,A19)</f>
        <v>3</v>
      </c>
      <c r="C19" s="9">
        <f>COUNTIFS(B$4:B$13,A19,E$4:E$13,"Yes")</f>
        <v>1</v>
      </c>
      <c r="D19" s="11">
        <f>IFERROR(C19/B19,0)</f>
        <v>0.33333333333333331</v>
      </c>
      <c r="E19" s="9">
        <f>COUNTIFS(B$4:B$13,A19,F$4:F$13,"Yes")</f>
        <v>1</v>
      </c>
      <c r="F19" s="11">
        <f>IFERROR(E19/B19,0)</f>
        <v>0.33333333333333331</v>
      </c>
    </row>
    <row r="22" spans="1:7" x14ac:dyDescent="0.3">
      <c r="A22" s="12"/>
      <c r="B22" s="1"/>
      <c r="C22" s="1"/>
      <c r="D22" s="1"/>
      <c r="E22" s="1"/>
      <c r="F22" s="1"/>
      <c r="G22" s="1"/>
    </row>
  </sheetData>
  <mergeCells count="3">
    <mergeCell ref="A1:G1"/>
    <mergeCell ref="A15:F15"/>
    <mergeCell ref="B22:G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ticket</vt:lpstr>
      <vt:lpstr>feedbacks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SEETHA RAMAN</cp:lastModifiedBy>
  <cp:revision>0</cp:revision>
  <dcterms:created xsi:type="dcterms:W3CDTF">2026-04-09T07:18:14Z</dcterms:created>
  <dcterms:modified xsi:type="dcterms:W3CDTF">2026-04-09T09:07:54Z</dcterms:modified>
  <dc:language>en-US</dc:language>
</cp:coreProperties>
</file>